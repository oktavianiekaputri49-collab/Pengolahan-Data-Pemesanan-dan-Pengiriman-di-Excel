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FD252B31-4859-4671-9B69-560C8D451147}" xr6:coauthVersionLast="47" xr6:coauthVersionMax="47" xr10:uidLastSave="{00000000-0000-0000-0000-000000000000}"/>
  <bookViews>
    <workbookView xWindow="-110" yWindow="-110" windowWidth="19420" windowHeight="10300" xr2:uid="{47B79CCF-7DA5-4D99-81EC-030092E645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3" i="2"/>
  <c r="D4" i="2"/>
  <c r="E2" i="2"/>
  <c r="D3" i="2"/>
  <c r="D5" i="2"/>
  <c r="D6" i="2"/>
  <c r="D7" i="2"/>
  <c r="D8" i="2"/>
  <c r="D9" i="2"/>
  <c r="D10" i="2"/>
  <c r="D11" i="2"/>
  <c r="D2" i="2"/>
  <c r="C2" i="2"/>
  <c r="E5" i="2"/>
  <c r="E6" i="2"/>
  <c r="E7" i="2"/>
  <c r="E8" i="2"/>
  <c r="E9" i="2"/>
  <c r="E10" i="2"/>
  <c r="E11" i="2"/>
  <c r="C3" i="2"/>
  <c r="C4" i="2"/>
  <c r="C5" i="2"/>
  <c r="C6" i="2"/>
  <c r="C7" i="2"/>
  <c r="C8" i="2"/>
  <c r="C9" i="2"/>
  <c r="C10" i="2"/>
  <c r="C11" i="2"/>
</calcChain>
</file>

<file path=xl/sharedStrings.xml><?xml version="1.0" encoding="utf-8"?>
<sst xmlns="http://schemas.openxmlformats.org/spreadsheetml/2006/main" count="52" uniqueCount="29">
  <si>
    <t>No. Pemesanan</t>
  </si>
  <si>
    <t>Nama Customer</t>
  </si>
  <si>
    <t xml:space="preserve">Jenis Kelamin </t>
  </si>
  <si>
    <t>Domisili</t>
  </si>
  <si>
    <t>Agus</t>
  </si>
  <si>
    <t>Lina</t>
  </si>
  <si>
    <t>Okta</t>
  </si>
  <si>
    <t>Christian</t>
  </si>
  <si>
    <t>Christo</t>
  </si>
  <si>
    <t>Rut</t>
  </si>
  <si>
    <t>Ellen</t>
  </si>
  <si>
    <t>Citra</t>
  </si>
  <si>
    <t>Nael</t>
  </si>
  <si>
    <t>Dika</t>
  </si>
  <si>
    <t>Laki-laki</t>
  </si>
  <si>
    <t>Perempuan</t>
  </si>
  <si>
    <t>Jakarta</t>
  </si>
  <si>
    <t>Bandung</t>
  </si>
  <si>
    <t>Surabaya</t>
  </si>
  <si>
    <t>Jogja</t>
  </si>
  <si>
    <t>Kota</t>
  </si>
  <si>
    <t>Lama Pengiriman</t>
  </si>
  <si>
    <t>3 Hari</t>
  </si>
  <si>
    <t>2 Hari</t>
  </si>
  <si>
    <t>1 Hari</t>
  </si>
  <si>
    <t>Tanggal Pemesanan</t>
  </si>
  <si>
    <t xml:space="preserve">Note: setelah blok semua tabel di sheet1 klik fn+f4 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</si>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</sst>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EA94-8DEE-4C95-A0FA-9F3C4C71450D}">
  <dimension ref="A1:E14"/>
  <sheetViews>
    <sheetView tabSelected="1" workbookViewId="0">
      <selection activeCell="J6" sqref="J6"/>
    </sheetView>
  </sheetViews>
  <sheetFormatPr defaultRowHeight="15.5" x14ac:dyDescent="0.35"/>
  <cols>
    <col min="1" max="1" width="17.81640625" style="2" bestFit="1" customWidth="1"/>
    <col min="2" max="2" width="16" style="2" bestFit="1" customWidth="1"/>
    <col min="3" max="3" width="14.7265625" style="2" bestFit="1" customWidth="1"/>
    <col min="4" max="4" width="10.54296875" style="2" customWidth="1"/>
    <col min="5" max="5" width="10.1796875" style="2" customWidth="1"/>
    <col min="6" max="16384" width="8.7265625" style="2"/>
  </cols>
  <sheetData>
    <row r="1" spans="1:5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5" x14ac:dyDescent="0.35">
      <c r="A2" s="3">
        <v>201</v>
      </c>
      <c r="B2" s="4" t="s">
        <v>4</v>
      </c>
      <c r="C2" s="4" t="s">
        <v>14</v>
      </c>
      <c r="D2" s="4" t="s">
        <v>16</v>
      </c>
    </row>
    <row r="3" spans="1:5" x14ac:dyDescent="0.35">
      <c r="A3" s="3">
        <v>202</v>
      </c>
      <c r="B3" s="4" t="s">
        <v>5</v>
      </c>
      <c r="C3" s="4" t="s">
        <v>15</v>
      </c>
      <c r="D3" s="4" t="s">
        <v>17</v>
      </c>
    </row>
    <row r="4" spans="1:5" x14ac:dyDescent="0.35">
      <c r="A4" s="3">
        <v>203</v>
      </c>
      <c r="B4" s="4" t="s">
        <v>6</v>
      </c>
      <c r="C4" s="4" t="s">
        <v>15</v>
      </c>
      <c r="D4" s="4" t="s">
        <v>18</v>
      </c>
    </row>
    <row r="5" spans="1:5" x14ac:dyDescent="0.35">
      <c r="A5" s="3">
        <v>204</v>
      </c>
      <c r="B5" s="4" t="s">
        <v>7</v>
      </c>
      <c r="C5" s="4" t="s">
        <v>14</v>
      </c>
      <c r="D5" s="4" t="s">
        <v>19</v>
      </c>
    </row>
    <row r="6" spans="1:5" x14ac:dyDescent="0.35">
      <c r="A6" s="3">
        <v>205</v>
      </c>
      <c r="B6" s="4" t="s">
        <v>8</v>
      </c>
      <c r="C6" s="4" t="s">
        <v>14</v>
      </c>
      <c r="D6" s="4" t="s">
        <v>17</v>
      </c>
    </row>
    <row r="7" spans="1:5" x14ac:dyDescent="0.35">
      <c r="A7" s="3">
        <v>206</v>
      </c>
      <c r="B7" s="4" t="s">
        <v>9</v>
      </c>
      <c r="C7" s="4" t="s">
        <v>15</v>
      </c>
      <c r="D7" s="4" t="s">
        <v>19</v>
      </c>
    </row>
    <row r="8" spans="1:5" x14ac:dyDescent="0.35">
      <c r="A8" s="3">
        <v>207</v>
      </c>
      <c r="B8" s="4" t="s">
        <v>10</v>
      </c>
      <c r="C8" s="4" t="s">
        <v>15</v>
      </c>
      <c r="D8" s="4" t="s">
        <v>18</v>
      </c>
    </row>
    <row r="9" spans="1:5" x14ac:dyDescent="0.35">
      <c r="A9" s="3">
        <v>208</v>
      </c>
      <c r="B9" s="4" t="s">
        <v>11</v>
      </c>
      <c r="C9" s="4" t="s">
        <v>15</v>
      </c>
      <c r="D9" s="4" t="s">
        <v>16</v>
      </c>
    </row>
    <row r="10" spans="1:5" x14ac:dyDescent="0.35">
      <c r="A10" s="3">
        <v>209</v>
      </c>
      <c r="B10" s="4" t="s">
        <v>12</v>
      </c>
      <c r="C10" s="4" t="s">
        <v>14</v>
      </c>
      <c r="D10" s="4" t="s">
        <v>19</v>
      </c>
    </row>
    <row r="11" spans="1:5" x14ac:dyDescent="0.35">
      <c r="A11" s="3">
        <v>210</v>
      </c>
      <c r="B11" s="4" t="s">
        <v>13</v>
      </c>
      <c r="C11" s="4" t="s">
        <v>14</v>
      </c>
      <c r="D11" s="4" t="s">
        <v>18</v>
      </c>
    </row>
    <row r="13" spans="1:5" x14ac:dyDescent="0.35">
      <c r="A13" s="11" t="s">
        <v>20</v>
      </c>
      <c r="B13" s="4" t="s">
        <v>16</v>
      </c>
      <c r="C13" s="4" t="s">
        <v>19</v>
      </c>
      <c r="D13" s="4" t="s">
        <v>17</v>
      </c>
      <c r="E13" s="4" t="s">
        <v>18</v>
      </c>
    </row>
    <row r="14" spans="1:5" x14ac:dyDescent="0.35">
      <c r="A14" s="11" t="s">
        <v>21</v>
      </c>
      <c r="B14" s="4" t="s">
        <v>22</v>
      </c>
      <c r="C14" s="4" t="s">
        <v>23</v>
      </c>
      <c r="D14" s="4" t="s">
        <v>23</v>
      </c>
      <c r="E14" s="4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E93C-2381-48B8-A348-9D713FD37EC8}">
  <dimension ref="A1:G15"/>
  <sheetViews>
    <sheetView workbookViewId="0">
      <selection activeCell="E4" sqref="E4"/>
    </sheetView>
  </sheetViews>
  <sheetFormatPr defaultRowHeight="15.5" x14ac:dyDescent="0.35"/>
  <cols>
    <col min="1" max="1" width="20.453125" style="2" customWidth="1"/>
    <col min="2" max="2" width="16" style="2" customWidth="1"/>
    <col min="3" max="3" width="16.90625" style="2" customWidth="1"/>
    <col min="4" max="4" width="11.08984375" style="2" customWidth="1"/>
    <col min="5" max="5" width="18.1796875" style="2" customWidth="1"/>
    <col min="6" max="6" width="8.7265625" style="2"/>
    <col min="7" max="7" width="12.08984375" style="6" bestFit="1" customWidth="1"/>
    <col min="8" max="16384" width="8.7265625" style="2"/>
  </cols>
  <sheetData>
    <row r="1" spans="1:7" x14ac:dyDescent="0.35">
      <c r="A1" s="1" t="s">
        <v>25</v>
      </c>
      <c r="B1" s="1" t="s">
        <v>0</v>
      </c>
      <c r="C1" s="1" t="s">
        <v>1</v>
      </c>
      <c r="D1" s="1" t="s">
        <v>3</v>
      </c>
      <c r="E1" s="1" t="s">
        <v>21</v>
      </c>
      <c r="G1" s="8"/>
    </row>
    <row r="2" spans="1:7" x14ac:dyDescent="0.35">
      <c r="A2" s="5">
        <v>44653</v>
      </c>
      <c r="B2" s="3">
        <v>203</v>
      </c>
      <c r="C2" s="4" t="str">
        <f>VLOOKUP(B2, Sheet1!$A$1:$D$11, 2, 0)</f>
        <v>Okta</v>
      </c>
      <c r="D2" s="4" t="str">
        <f>VLOOKUP(B2, Sheet1!$A$1:$D$11, 4, 0)</f>
        <v>Surabaya</v>
      </c>
      <c r="E2" s="4" t="str">
        <f>HLOOKUP(D2, Sheet1!$A$13:$E$14, 2, 0)</f>
        <v>1 Hari</v>
      </c>
    </row>
    <row r="3" spans="1:7" x14ac:dyDescent="0.35">
      <c r="A3" s="5">
        <v>44655</v>
      </c>
      <c r="B3" s="3">
        <v>205</v>
      </c>
      <c r="C3" s="4" t="str">
        <f>VLOOKUP(B3, Sheet1!$A$1:$D$11, 2, 0)</f>
        <v>Christo</v>
      </c>
      <c r="D3" s="4" t="str">
        <f>VLOOKUP(B3, Sheet1!$A$1:$D$11, 4, 0)</f>
        <v>Bandung</v>
      </c>
      <c r="E3" s="4" t="str">
        <f>HLOOKUP(D3, Sheet1!$A$13:$E$14, 2, 0)</f>
        <v>2 Hari</v>
      </c>
      <c r="G3" s="9" t="s">
        <v>27</v>
      </c>
    </row>
    <row r="4" spans="1:7" x14ac:dyDescent="0.35">
      <c r="A4" s="5">
        <v>44661</v>
      </c>
      <c r="B4" s="3">
        <v>210</v>
      </c>
      <c r="C4" s="4" t="str">
        <f>VLOOKUP(B4, Sheet1!$A$1:$D$11, 2, 0)</f>
        <v>Dika</v>
      </c>
      <c r="D4" s="4" t="str">
        <f>VLOOKUP(B4, Sheet1!$A$1:$D$11, 4, 0)</f>
        <v>Surabaya</v>
      </c>
      <c r="E4" s="4" t="str">
        <f>HLOOKUP(D4, Sheet1!$A$13:$E$14, 2, 0)</f>
        <v>1 Hari</v>
      </c>
      <c r="G4" s="9" t="s">
        <v>28</v>
      </c>
    </row>
    <row r="5" spans="1:7" x14ac:dyDescent="0.35">
      <c r="A5" s="5">
        <v>44659</v>
      </c>
      <c r="B5" s="3">
        <v>207</v>
      </c>
      <c r="C5" s="4" t="str">
        <f>VLOOKUP(B5, Sheet1!$A$1:$D$11, 2, 0)</f>
        <v>Ellen</v>
      </c>
      <c r="D5" s="4" t="str">
        <f>VLOOKUP(B5, Sheet1!$A$1:$D$11, 4, 0)</f>
        <v>Surabaya</v>
      </c>
      <c r="E5" s="4" t="str">
        <f>HLOOKUP(D5, Sheet1!$A$13:$E$14, 2, 0)</f>
        <v>1 Hari</v>
      </c>
    </row>
    <row r="6" spans="1:7" x14ac:dyDescent="0.35">
      <c r="A6" s="5">
        <v>44654</v>
      </c>
      <c r="B6" s="3">
        <v>201</v>
      </c>
      <c r="C6" s="4" t="str">
        <f>VLOOKUP(B6, Sheet1!$A$1:$D$11, 2, 0)</f>
        <v>Agus</v>
      </c>
      <c r="D6" s="4" t="str">
        <f>VLOOKUP(B6, Sheet1!$A$1:$D$11, 4, 0)</f>
        <v>Jakarta</v>
      </c>
      <c r="E6" s="4" t="str">
        <f>HLOOKUP(D6, Sheet1!$A$13:$E$14, 2, 0)</f>
        <v>3 Hari</v>
      </c>
    </row>
    <row r="7" spans="1:7" x14ac:dyDescent="0.35">
      <c r="A7" s="5">
        <v>44658</v>
      </c>
      <c r="B7" s="3">
        <v>204</v>
      </c>
      <c r="C7" s="4" t="str">
        <f>VLOOKUP(B7, Sheet1!$A$1:$D$11, 2, 0)</f>
        <v>Christian</v>
      </c>
      <c r="D7" s="4" t="str">
        <f>VLOOKUP(B7, Sheet1!$A$1:$D$11, 4, 0)</f>
        <v>Jogja</v>
      </c>
      <c r="E7" s="4" t="str">
        <f>HLOOKUP(D7, Sheet1!$A$13:$E$14, 2, 0)</f>
        <v>2 Hari</v>
      </c>
    </row>
    <row r="8" spans="1:7" x14ac:dyDescent="0.35">
      <c r="A8" s="5">
        <v>44656</v>
      </c>
      <c r="B8" s="3">
        <v>206</v>
      </c>
      <c r="C8" s="4" t="str">
        <f>VLOOKUP(B8, Sheet1!$A$1:$D$11, 2, 0)</f>
        <v>Rut</v>
      </c>
      <c r="D8" s="4" t="str">
        <f>VLOOKUP(B8, Sheet1!$A$1:$D$11, 4, 0)</f>
        <v>Jogja</v>
      </c>
      <c r="E8" s="4" t="str">
        <f>HLOOKUP(D8, Sheet1!$A$13:$E$14, 2, 0)</f>
        <v>2 Hari</v>
      </c>
    </row>
    <row r="9" spans="1:7" x14ac:dyDescent="0.35">
      <c r="A9" s="5">
        <v>44660</v>
      </c>
      <c r="B9" s="3">
        <v>209</v>
      </c>
      <c r="C9" s="4" t="str">
        <f>VLOOKUP(B9, Sheet1!$A$1:$D$11, 2, 0)</f>
        <v>Nael</v>
      </c>
      <c r="D9" s="4" t="str">
        <f>VLOOKUP(B9, Sheet1!$A$1:$D$11, 4, 0)</f>
        <v>Jogja</v>
      </c>
      <c r="E9" s="4" t="str">
        <f>HLOOKUP(D9, Sheet1!$A$13:$E$14, 2, 0)</f>
        <v>2 Hari</v>
      </c>
    </row>
    <row r="10" spans="1:7" x14ac:dyDescent="0.35">
      <c r="A10" s="5">
        <v>44652</v>
      </c>
      <c r="B10" s="3">
        <v>202</v>
      </c>
      <c r="C10" s="4" t="str">
        <f>VLOOKUP(B10, Sheet1!$A$1:$D$11, 2, 0)</f>
        <v>Lina</v>
      </c>
      <c r="D10" s="4" t="str">
        <f>VLOOKUP(B10, Sheet1!$A$1:$D$11, 4, 0)</f>
        <v>Bandung</v>
      </c>
      <c r="E10" s="4" t="str">
        <f>HLOOKUP(D10, Sheet1!$A$13:$E$14, 2, 0)</f>
        <v>2 Hari</v>
      </c>
    </row>
    <row r="11" spans="1:7" x14ac:dyDescent="0.35">
      <c r="A11" s="5">
        <v>44657</v>
      </c>
      <c r="B11" s="3">
        <v>208</v>
      </c>
      <c r="C11" s="4" t="str">
        <f>VLOOKUP(B11, Sheet1!$A$1:$D$11, 2, 0)</f>
        <v>Citra</v>
      </c>
      <c r="D11" s="4" t="str">
        <f>VLOOKUP(B11, Sheet1!$A$1:$D$11, 4, 0)</f>
        <v>Jakarta</v>
      </c>
      <c r="E11" s="4" t="str">
        <f>HLOOKUP(D11, Sheet1!$A$13:$E$14, 2, 0)</f>
        <v>3 Hari</v>
      </c>
    </row>
    <row r="12" spans="1:7" x14ac:dyDescent="0.35">
      <c r="A12" s="6"/>
    </row>
    <row r="13" spans="1:7" x14ac:dyDescent="0.35">
      <c r="A13" s="7" t="s">
        <v>26</v>
      </c>
    </row>
    <row r="14" spans="1:7" x14ac:dyDescent="0.35">
      <c r="A14" s="7"/>
    </row>
    <row r="15" spans="1:7" x14ac:dyDescent="0.35">
      <c r="A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2025-08-02T04:26:51Z</dcterms:created>
  <dcterms:modified xsi:type="dcterms:W3CDTF">2026-04-29T08:35:17Z</dcterms:modified>
</cp:coreProperties>
</file>